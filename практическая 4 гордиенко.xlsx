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30936" windowHeight="9012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H5" i="2"/>
  <c r="H4" i="2"/>
  <c r="H3" i="2"/>
  <c r="H2" i="2"/>
  <c r="F2" i="2"/>
  <c r="E3" i="2"/>
  <c r="F3" i="2" s="1"/>
  <c r="E4" i="2"/>
  <c r="F4" i="2" s="1"/>
  <c r="E5" i="2"/>
  <c r="F5" i="2"/>
  <c r="E2" i="2"/>
  <c r="B10" i="1"/>
  <c r="B9" i="1"/>
  <c r="B8" i="1"/>
  <c r="C7" i="1"/>
  <c r="D7" i="1"/>
  <c r="E7" i="1"/>
  <c r="F7" i="1"/>
  <c r="B7" i="1"/>
  <c r="M2" i="1"/>
  <c r="L2" i="1"/>
  <c r="K2" i="1"/>
  <c r="J2" i="1"/>
  <c r="E3" i="1"/>
  <c r="F3" i="1" s="1"/>
  <c r="E4" i="1"/>
  <c r="F4" i="1" s="1"/>
  <c r="E5" i="1"/>
  <c r="F5" i="1" s="1"/>
  <c r="E6" i="1"/>
  <c r="E2" i="1"/>
  <c r="F2" i="1" s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<sst xmlns="http://schemas.openxmlformats.org/spreadsheetml/2006/main" count="31" uniqueCount="31">
  <si>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</si>
  <si>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</si>
  <si>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</si>
  <si>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</si>
  <si>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</si>
  <si>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</si>
  <si>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</si>
  <si>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</si>
  <si>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</si>
  <si>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</si>
  <si>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</si>
  <si>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</si>
  <si>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</t>
  </si>
  <si>
    <t>Коэффициент</t>
  </si>
  <si>
    <t>ИТОГО:</t>
  </si>
  <si>
    <t>Средняя зарплата:</t>
  </si>
  <si>
    <t xml:space="preserve">Максимум: </t>
  </si>
  <si>
    <t xml:space="preserve">Минимум: </t>
  </si>
  <si>
    <t>Товар</t>
  </si>
  <si>
    <t>Ноутбук</t>
  </si>
  <si>
    <t>Клавиатура</t>
  </si>
  <si>
    <t>Мышь</t>
  </si>
  <si>
    <t>Цена за ед.</t>
  </si>
  <si>
    <t>Монитор</t>
  </si>
  <si>
    <t>Кол-во</t>
  </si>
  <si>
    <t>Скидка %</t>
  </si>
  <si>
    <t>Стоимость</t>
  </si>
  <si>
    <t>Итого со скидкой</t>
  </si>
  <si>
    <t>НДС 20%</t>
  </si>
  <si>
    <t>НДС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</si>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</sst>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165" fontId="0" fillId="0" borderId="0" xfId="0" applyNumberFormat="1"/>
    <xf numFmtId="0" fontId="0" fillId="2" borderId="0" xfId="0" applyFill="1"/>
    <xf numFmtId="0" fontId="0" fillId="0" borderId="0" xfId="0" applyBorder="1"/>
    <xf numFmtId="165" fontId="0" fillId="0" borderId="0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2" xfId="0" applyFill="1" applyBorder="1"/>
    <xf numFmtId="10" fontId="0" fillId="0" borderId="2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opLeftCell="A7" workbookViewId="0">
      <selection activeCell="B11" sqref="B11"/>
    </sheetView>
  </sheetViews>
  <sheetFormatPr defaultRowHeight="14.4" x14ac:dyDescent="0.3"/>
  <cols>
    <col min="1" max="1" width="17" customWidth="1"/>
    <col min="2" max="2" width="14.5546875" customWidth="1"/>
    <col min="3" max="3" width="13.77734375" customWidth="1"/>
    <col min="4" max="4" width="14.77734375" customWidth="1"/>
    <col min="5" max="5" width="12.5546875" customWidth="1"/>
    <col min="6" max="6" width="12.109375" customWidth="1"/>
    <col min="8" max="8" width="16.44140625" customWidth="1"/>
    <col min="9" max="9" width="15.44140625" customWidth="1"/>
    <col min="10" max="10" width="12.5546875" customWidth="1"/>
    <col min="11" max="11" width="11.44140625" customWidth="1"/>
    <col min="12" max="12" width="14.109375" customWidth="1"/>
    <col min="13" max="13" width="16.6640625" customWidth="1"/>
    <col min="14" max="14" width="17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</row>
    <row r="2" spans="1:14" x14ac:dyDescent="0.3">
      <c r="A2" t="s">
        <v>6</v>
      </c>
      <c r="B2" s="3">
        <v>50000</v>
      </c>
      <c r="C2">
        <v>20</v>
      </c>
      <c r="D2" s="3">
        <f>B2*C2/100</f>
        <v>10000</v>
      </c>
      <c r="E2" s="3">
        <f>(B2+D2)*$H$2</f>
        <v>7800</v>
      </c>
      <c r="F2" s="3">
        <f>B2+D2-E2</f>
        <v>52200</v>
      </c>
      <c r="G2">
        <v>1</v>
      </c>
      <c r="H2" s="4">
        <v>0.13</v>
      </c>
      <c r="I2">
        <v>1.5</v>
      </c>
      <c r="J2" s="3">
        <f>B2*$I$2</f>
        <v>75000</v>
      </c>
      <c r="K2" s="3">
        <f>B2*I$2</f>
        <v>75000</v>
      </c>
      <c r="L2" s="3">
        <f>C2*J$2</f>
        <v>1500000</v>
      </c>
      <c r="M2" s="3">
        <f>D2*K$2</f>
        <v>750000000</v>
      </c>
      <c r="N2" s="3"/>
    </row>
    <row r="3" spans="1:14" x14ac:dyDescent="0.3">
      <c r="A3" t="s">
        <v>7</v>
      </c>
      <c r="B3" s="3">
        <v>45000</v>
      </c>
      <c r="C3">
        <v>15</v>
      </c>
      <c r="D3" s="3">
        <f t="shared" ref="D3:D6" si="0">B3*C3/100</f>
        <v>6750</v>
      </c>
      <c r="E3" s="3">
        <f t="shared" ref="E3:E6" si="1">(B3+D3)*$H$2</f>
        <v>6727.5</v>
      </c>
      <c r="F3" s="3">
        <f t="shared" ref="F3:F6" si="2">B3+D3-E3</f>
        <v>45022.5</v>
      </c>
      <c r="G3">
        <v>2</v>
      </c>
    </row>
    <row r="4" spans="1:14" x14ac:dyDescent="0.3">
      <c r="A4" t="s">
        <v>8</v>
      </c>
      <c r="B4" s="3">
        <v>62000</v>
      </c>
      <c r="C4">
        <v>25</v>
      </c>
      <c r="D4" s="3">
        <f t="shared" si="0"/>
        <v>15500</v>
      </c>
      <c r="E4" s="3">
        <f t="shared" si="1"/>
        <v>10075</v>
      </c>
      <c r="F4" s="3">
        <f t="shared" si="2"/>
        <v>67425</v>
      </c>
      <c r="G4">
        <v>3</v>
      </c>
    </row>
    <row r="5" spans="1:14" x14ac:dyDescent="0.3">
      <c r="A5" t="s">
        <v>9</v>
      </c>
      <c r="B5" s="3">
        <v>55000</v>
      </c>
      <c r="C5">
        <v>10</v>
      </c>
      <c r="D5" s="3">
        <f t="shared" si="0"/>
        <v>5500</v>
      </c>
      <c r="E5" s="3">
        <f t="shared" si="1"/>
        <v>7865</v>
      </c>
      <c r="F5" s="3">
        <f t="shared" si="2"/>
        <v>52635</v>
      </c>
      <c r="G5">
        <v>4</v>
      </c>
    </row>
    <row r="6" spans="1:14" x14ac:dyDescent="0.3">
      <c r="A6" t="s">
        <v>10</v>
      </c>
      <c r="B6" s="3">
        <v>40000</v>
      </c>
      <c r="C6">
        <v>30</v>
      </c>
      <c r="D6" s="3">
        <f t="shared" si="0"/>
        <v>12000</v>
      </c>
      <c r="E6" s="3">
        <f t="shared" si="1"/>
        <v>6760</v>
      </c>
      <c r="F6" s="3">
        <f t="shared" si="2"/>
        <v>45240</v>
      </c>
      <c r="G6">
        <v>5</v>
      </c>
    </row>
    <row r="7" spans="1:14" x14ac:dyDescent="0.3">
      <c r="A7" s="1" t="s">
        <v>14</v>
      </c>
      <c r="B7" s="3">
        <f>SUM(B2:B6)</f>
        <v>252000</v>
      </c>
      <c r="C7" s="3">
        <f t="shared" ref="C7:F7" si="3">SUM(C2:C6)</f>
        <v>100</v>
      </c>
      <c r="D7" s="3">
        <f t="shared" si="3"/>
        <v>49750</v>
      </c>
      <c r="E7" s="3">
        <f t="shared" si="3"/>
        <v>39227.5</v>
      </c>
      <c r="F7" s="3">
        <f t="shared" si="3"/>
        <v>262522.5</v>
      </c>
    </row>
    <row r="8" spans="1:14" x14ac:dyDescent="0.3">
      <c r="A8" t="s">
        <v>15</v>
      </c>
      <c r="B8" s="3">
        <f>AVERAGE(B2:B6)</f>
        <v>50400</v>
      </c>
    </row>
    <row r="9" spans="1:14" x14ac:dyDescent="0.3">
      <c r="A9" t="s">
        <v>16</v>
      </c>
      <c r="B9" s="3">
        <f>MAX(F2:F6)</f>
        <v>67425</v>
      </c>
    </row>
    <row r="10" spans="1:14" x14ac:dyDescent="0.3">
      <c r="A10" t="s">
        <v>17</v>
      </c>
      <c r="B10" s="3">
        <f>MIN(F2:F6)</f>
        <v>45022.5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7" sqref="F7"/>
    </sheetView>
  </sheetViews>
  <sheetFormatPr defaultRowHeight="14.4" x14ac:dyDescent="0.3"/>
  <cols>
    <col min="1" max="1" width="12.77734375" customWidth="1"/>
    <col min="2" max="2" width="11.5546875" customWidth="1"/>
    <col min="4" max="4" width="9.6640625" customWidth="1"/>
    <col min="5" max="5" width="11.6640625" customWidth="1"/>
    <col min="6" max="6" width="16.5546875" customWidth="1"/>
    <col min="8" max="8" width="12.88671875" customWidth="1"/>
  </cols>
  <sheetData>
    <row r="1" spans="1:15" x14ac:dyDescent="0.3">
      <c r="A1" s="7" t="s">
        <v>18</v>
      </c>
      <c r="B1" s="7" t="s">
        <v>22</v>
      </c>
      <c r="C1" s="7" t="s">
        <v>24</v>
      </c>
      <c r="D1" s="7" t="s">
        <v>25</v>
      </c>
      <c r="E1" s="7" t="s">
        <v>26</v>
      </c>
      <c r="F1" s="7" t="s">
        <v>27</v>
      </c>
      <c r="G1" s="9" t="s">
        <v>28</v>
      </c>
      <c r="H1" s="9" t="s">
        <v>29</v>
      </c>
    </row>
    <row r="2" spans="1:15" x14ac:dyDescent="0.3">
      <c r="A2" s="7" t="s">
        <v>19</v>
      </c>
      <c r="B2" s="8">
        <v>45000</v>
      </c>
      <c r="C2" s="7">
        <v>5</v>
      </c>
      <c r="D2" s="7">
        <v>5</v>
      </c>
      <c r="E2" s="8">
        <f>B2*C2</f>
        <v>225000</v>
      </c>
      <c r="F2" s="8">
        <f>E2*(1-5/100)</f>
        <v>213750</v>
      </c>
      <c r="G2" s="10">
        <v>0.2</v>
      </c>
      <c r="H2" s="3">
        <f>E2*$G$2</f>
        <v>45000</v>
      </c>
    </row>
    <row r="3" spans="1:15" x14ac:dyDescent="0.3">
      <c r="A3" s="7" t="s">
        <v>23</v>
      </c>
      <c r="B3" s="8">
        <v>18000</v>
      </c>
      <c r="C3" s="7">
        <v>10</v>
      </c>
      <c r="D3" s="7">
        <v>3</v>
      </c>
      <c r="E3" s="8">
        <f t="shared" ref="E3:E5" si="0">B3*C3</f>
        <v>180000</v>
      </c>
      <c r="F3" s="8">
        <f t="shared" ref="F3:F5" si="1">E3*(1-5/100)</f>
        <v>171000</v>
      </c>
      <c r="H3" s="3">
        <f>E3*$G$2</f>
        <v>36000</v>
      </c>
    </row>
    <row r="4" spans="1:15" x14ac:dyDescent="0.3">
      <c r="A4" s="7" t="s">
        <v>20</v>
      </c>
      <c r="B4" s="8">
        <v>1800</v>
      </c>
      <c r="C4" s="7">
        <v>25</v>
      </c>
      <c r="D4" s="7">
        <v>10</v>
      </c>
      <c r="E4" s="8">
        <f t="shared" si="0"/>
        <v>45000</v>
      </c>
      <c r="F4" s="8">
        <f t="shared" si="1"/>
        <v>42750</v>
      </c>
      <c r="H4" s="3">
        <f>E4*$G$2</f>
        <v>9000</v>
      </c>
    </row>
    <row r="5" spans="1:15" x14ac:dyDescent="0.3">
      <c r="A5" s="7" t="s">
        <v>21</v>
      </c>
      <c r="B5" s="8">
        <v>800</v>
      </c>
      <c r="C5" s="7">
        <v>30</v>
      </c>
      <c r="D5" s="7">
        <v>7</v>
      </c>
      <c r="E5" s="8">
        <f t="shared" si="0"/>
        <v>24000</v>
      </c>
      <c r="F5" s="8">
        <f t="shared" si="1"/>
        <v>22800</v>
      </c>
      <c r="H5" s="3">
        <f>E5*$G$2</f>
        <v>4800</v>
      </c>
    </row>
    <row r="6" spans="1:15" x14ac:dyDescent="0.3">
      <c r="A6" s="9" t="s">
        <v>30</v>
      </c>
      <c r="B6" s="6"/>
      <c r="C6" s="5"/>
      <c r="D6" s="5"/>
      <c r="E6" s="5"/>
      <c r="F6" s="6">
        <f>SUM(F2:F5)</f>
        <v>450300</v>
      </c>
    </row>
    <row r="7" spans="1:15" x14ac:dyDescent="0.3">
      <c r="A7" s="5"/>
      <c r="B7" s="6"/>
      <c r="C7" s="5"/>
      <c r="D7" s="5"/>
      <c r="E7" s="5"/>
      <c r="F7" s="5"/>
    </row>
    <row r="8" spans="1:15" x14ac:dyDescent="0.3">
      <c r="A8" s="5"/>
      <c r="B8" s="5"/>
      <c r="C8" s="5"/>
      <c r="D8" s="5"/>
      <c r="E8" s="5"/>
      <c r="F8" s="5"/>
    </row>
    <row r="12" spans="1:15" x14ac:dyDescent="0.3">
      <c r="J12" s="5"/>
      <c r="K12" s="5"/>
      <c r="L12" s="5"/>
      <c r="M12" s="5"/>
      <c r="N12" s="5"/>
      <c r="O12" s="5"/>
    </row>
    <row r="13" spans="1:15" x14ac:dyDescent="0.3">
      <c r="J13" s="5"/>
      <c r="K13" s="6"/>
      <c r="L13" s="5"/>
      <c r="M13" s="5"/>
      <c r="N13" s="5"/>
      <c r="O13" s="5"/>
    </row>
    <row r="14" spans="1:15" x14ac:dyDescent="0.3">
      <c r="J14" s="5"/>
      <c r="K14" s="6"/>
      <c r="L14" s="5"/>
      <c r="M14" s="5"/>
      <c r="N14" s="5"/>
      <c r="O14" s="5"/>
    </row>
    <row r="15" spans="1:15" x14ac:dyDescent="0.3">
      <c r="J15" s="5"/>
      <c r="K15" s="6"/>
      <c r="L15" s="5"/>
      <c r="M15" s="5"/>
      <c r="N15" s="5"/>
      <c r="O15" s="5"/>
    </row>
    <row r="16" spans="1:15" x14ac:dyDescent="0.3">
      <c r="J16" s="5"/>
      <c r="K16" s="6"/>
      <c r="L16" s="5"/>
      <c r="M16" s="5"/>
      <c r="N16" s="5"/>
      <c r="O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2026-09-16T06:43:56Z</dcterms:created>
  <dcterms:modified xsi:type="dcterms:W3CDTF">2026-09-16T07:21:03Z</dcterms:modified>
</cp:coreProperties>
</file>