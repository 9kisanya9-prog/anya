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Статистика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" i="1" l="1"/>
  <c r="J20" i="1"/>
  <c r="K20" i="1"/>
  <c r="E20" i="1"/>
  <c r="H20" i="1"/>
  <c r="I20" i="1"/>
  <c r="H2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<sst xmlns="http://schemas.openxmlformats.org/spreadsheetml/2006/main" count="52" uniqueCount="49">
  <si>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</si>
  <si>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</si>
  <si>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</si>
  <si>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</si>
  <si>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</si>
  <si>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</si>
  <si>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</si>
  <si>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</si>
  <si>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</si>
  <si>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 И.</t>
  </si>
  <si>
    <t>Петров П. П.</t>
  </si>
  <si>
    <t>Сидорова С. С</t>
  </si>
  <si>
    <t>Кузнецов К. К.</t>
  </si>
  <si>
    <t>Смирнова С. С.</t>
  </si>
  <si>
    <t>Волков В. В.</t>
  </si>
  <si>
    <t>Морозова М. М.</t>
  </si>
  <si>
    <t>Новиков Н. Н.</t>
  </si>
  <si>
    <t>Фёдоров Ф. Ф.</t>
  </si>
  <si>
    <t>Егоров Е. Е.</t>
  </si>
  <si>
    <t>Павлова П. П.</t>
  </si>
  <si>
    <t>Соколов С. С.</t>
  </si>
  <si>
    <t>Лебедева Л. Л.</t>
  </si>
  <si>
    <t>Козлов К. К.</t>
  </si>
  <si>
    <t>Степанова С. С.</t>
  </si>
  <si>
    <t>Минимум</t>
  </si>
  <si>
    <t>Максимум</t>
  </si>
  <si>
    <t>Товар</t>
  </si>
  <si>
    <t>Цена (руб.)</t>
  </si>
  <si>
    <t>Продано (шт.)</t>
  </si>
  <si>
    <t>Выручка</t>
  </si>
  <si>
    <t>Категория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</si>
  <si>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</si>
  <si>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</si>
  <si>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</si>
  <si>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</si>
  <si>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</si>
  <si>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</si>
  <si>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</si>
  <si>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</si>
  <si>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</si>
  <si>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</si>
  <si>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</si>
  <si>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Картридж</t>
  </si>
  <si>
    <t>Бумага А4</t>
  </si>
  <si>
    <t>Роутер</t>
  </si>
  <si>
    <t>USB-хаб</t>
  </si>
  <si>
    <t>Сумма</t>
  </si>
  <si>
    <t>Среднее</t>
  </si>
  <si>
    <t>Медиана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</si>
</sst>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3" fontId="0" fillId="0" borderId="1" xfId="0" applyNumberFormat="1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G21" sqref="G21"/>
    </sheetView>
  </sheetViews>
  <sheetFormatPr defaultRowHeight="14.4" x14ac:dyDescent="0.3"/>
  <cols>
    <col min="2" max="2" width="16.5546875" customWidth="1"/>
    <col min="3" max="3" width="11.77734375" customWidth="1"/>
    <col min="4" max="4" width="15.77734375" customWidth="1"/>
    <col min="5" max="5" width="14" customWidth="1"/>
    <col min="6" max="6" width="14.21875" customWidth="1"/>
    <col min="7" max="7" width="13.88671875" customWidth="1"/>
    <col min="8" max="8" width="9" customWidth="1"/>
    <col min="10" max="10" width="10" customWidth="1"/>
    <col min="11" max="11" width="11.21875" customWidth="1"/>
    <col min="12" max="12" width="12.44140625" customWidth="1"/>
    <col min="13" max="13" width="11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</v>
      </c>
      <c r="K1" s="1" t="s">
        <v>25</v>
      </c>
    </row>
    <row r="2" spans="1:11" x14ac:dyDescent="0.3">
      <c r="A2" s="2">
        <v>1</v>
      </c>
      <c r="B2" s="4" t="s">
        <v>9</v>
      </c>
      <c r="C2" s="3">
        <v>85</v>
      </c>
      <c r="D2" s="3">
        <v>78</v>
      </c>
      <c r="E2" s="3">
        <v>92</v>
      </c>
      <c r="F2" s="3">
        <f>C2+D2+E2</f>
        <v>255</v>
      </c>
      <c r="G2" s="2">
        <f>F2/3</f>
        <v>85</v>
      </c>
      <c r="H2" s="3">
        <f>MEDIAN(C2,D2,E2)</f>
        <v>85</v>
      </c>
      <c r="I2" s="2"/>
      <c r="J2" s="3">
        <f>MIN(C2,D2,E2)</f>
        <v>78</v>
      </c>
      <c r="K2" s="3">
        <f>MAX(C2,D2,E2)</f>
        <v>92</v>
      </c>
    </row>
    <row r="3" spans="1:11" x14ac:dyDescent="0.3">
      <c r="A3" s="2">
        <v>2</v>
      </c>
      <c r="B3" s="4" t="s">
        <v>10</v>
      </c>
      <c r="C3" s="3">
        <v>72</v>
      </c>
      <c r="D3" s="3">
        <v>65</v>
      </c>
      <c r="E3" s="3">
        <v>80</v>
      </c>
      <c r="F3" s="3">
        <f t="shared" ref="F3:F16" si="0">C3+D3+E3</f>
        <v>217</v>
      </c>
      <c r="G3" s="2">
        <f t="shared" ref="G3:G16" si="1">F3/3</f>
        <v>72.333333333333329</v>
      </c>
      <c r="H3" s="3">
        <f t="shared" ref="H3:H16" si="2">MEDIAN(C3,D3,E3)</f>
        <v>72</v>
      </c>
      <c r="I3" s="2"/>
      <c r="J3" s="3">
        <f t="shared" ref="J3:J16" si="3">MIN(C3,D3,E3)</f>
        <v>65</v>
      </c>
      <c r="K3" s="3">
        <f t="shared" ref="K3:K16" si="4">MAX(C3,D3,E3)</f>
        <v>80</v>
      </c>
    </row>
    <row r="4" spans="1:11" x14ac:dyDescent="0.3">
      <c r="A4" s="2">
        <v>3</v>
      </c>
      <c r="B4" s="4" t="s">
        <v>11</v>
      </c>
      <c r="C4" s="3">
        <v>95</v>
      </c>
      <c r="D4" s="3">
        <v>88</v>
      </c>
      <c r="E4" s="3">
        <v>98</v>
      </c>
      <c r="F4" s="3">
        <f t="shared" si="0"/>
        <v>281</v>
      </c>
      <c r="G4" s="2">
        <f t="shared" si="1"/>
        <v>93.666666666666671</v>
      </c>
      <c r="H4" s="3">
        <f t="shared" si="2"/>
        <v>95</v>
      </c>
      <c r="I4" s="2"/>
      <c r="J4" s="3">
        <f t="shared" si="3"/>
        <v>88</v>
      </c>
      <c r="K4" s="3">
        <f t="shared" si="4"/>
        <v>98</v>
      </c>
    </row>
    <row r="5" spans="1:11" x14ac:dyDescent="0.3">
      <c r="A5" s="2">
        <v>4</v>
      </c>
      <c r="B5" s="4" t="s">
        <v>12</v>
      </c>
      <c r="C5" s="3">
        <v>65</v>
      </c>
      <c r="D5" s="3">
        <v>55</v>
      </c>
      <c r="E5" s="3">
        <v>70</v>
      </c>
      <c r="F5" s="3">
        <f t="shared" si="0"/>
        <v>190</v>
      </c>
      <c r="G5" s="2">
        <f t="shared" si="1"/>
        <v>63.333333333333336</v>
      </c>
      <c r="H5" s="3">
        <f t="shared" si="2"/>
        <v>65</v>
      </c>
      <c r="I5" s="2"/>
      <c r="J5" s="3">
        <f t="shared" si="3"/>
        <v>55</v>
      </c>
      <c r="K5" s="3">
        <f t="shared" si="4"/>
        <v>70</v>
      </c>
    </row>
    <row r="6" spans="1:11" x14ac:dyDescent="0.3">
      <c r="A6" s="2">
        <v>5</v>
      </c>
      <c r="B6" s="4" t="s">
        <v>13</v>
      </c>
      <c r="C6" s="3">
        <v>78</v>
      </c>
      <c r="D6" s="3">
        <v>82</v>
      </c>
      <c r="E6" s="3">
        <v>85</v>
      </c>
      <c r="F6" s="3">
        <f t="shared" si="0"/>
        <v>245</v>
      </c>
      <c r="G6" s="2">
        <f t="shared" si="1"/>
        <v>81.666666666666671</v>
      </c>
      <c r="H6" s="3">
        <f t="shared" si="2"/>
        <v>82</v>
      </c>
      <c r="I6" s="2"/>
      <c r="J6" s="3">
        <f t="shared" si="3"/>
        <v>78</v>
      </c>
      <c r="K6" s="3">
        <f t="shared" si="4"/>
        <v>85</v>
      </c>
    </row>
    <row r="7" spans="1:11" x14ac:dyDescent="0.3">
      <c r="A7" s="2">
        <v>6</v>
      </c>
      <c r="B7" s="4" t="s">
        <v>14</v>
      </c>
      <c r="C7" s="3">
        <v>88</v>
      </c>
      <c r="D7" s="3">
        <v>90</v>
      </c>
      <c r="E7" s="3">
        <v>95</v>
      </c>
      <c r="F7" s="3">
        <f t="shared" si="0"/>
        <v>273</v>
      </c>
      <c r="G7" s="2">
        <f t="shared" si="1"/>
        <v>91</v>
      </c>
      <c r="H7" s="3">
        <f t="shared" si="2"/>
        <v>90</v>
      </c>
      <c r="I7" s="2"/>
      <c r="J7" s="3">
        <f t="shared" si="3"/>
        <v>88</v>
      </c>
      <c r="K7" s="3">
        <f t="shared" si="4"/>
        <v>95</v>
      </c>
    </row>
    <row r="8" spans="1:11" x14ac:dyDescent="0.3">
      <c r="A8" s="2">
        <v>7</v>
      </c>
      <c r="B8" s="4" t="s">
        <v>15</v>
      </c>
      <c r="C8" s="3">
        <v>65</v>
      </c>
      <c r="D8" s="3">
        <v>70</v>
      </c>
      <c r="E8" s="3">
        <v>68</v>
      </c>
      <c r="F8" s="3">
        <f t="shared" si="0"/>
        <v>203</v>
      </c>
      <c r="G8" s="2">
        <f t="shared" si="1"/>
        <v>67.666666666666671</v>
      </c>
      <c r="H8" s="3">
        <f t="shared" si="2"/>
        <v>68</v>
      </c>
      <c r="I8" s="2"/>
      <c r="J8" s="3">
        <f t="shared" si="3"/>
        <v>65</v>
      </c>
      <c r="K8" s="3">
        <f t="shared" si="4"/>
        <v>70</v>
      </c>
    </row>
    <row r="9" spans="1:11" x14ac:dyDescent="0.3">
      <c r="A9" s="2">
        <v>8</v>
      </c>
      <c r="B9" s="4" t="s">
        <v>16</v>
      </c>
      <c r="C9" s="3">
        <v>92</v>
      </c>
      <c r="D9" s="3">
        <v>85</v>
      </c>
      <c r="E9" s="3">
        <v>88</v>
      </c>
      <c r="F9" s="3">
        <f t="shared" si="0"/>
        <v>265</v>
      </c>
      <c r="G9" s="2">
        <f t="shared" si="1"/>
        <v>88.333333333333329</v>
      </c>
      <c r="H9" s="3">
        <f t="shared" si="2"/>
        <v>88</v>
      </c>
      <c r="I9" s="2"/>
      <c r="J9" s="3">
        <f t="shared" si="3"/>
        <v>85</v>
      </c>
      <c r="K9" s="3">
        <f t="shared" si="4"/>
        <v>92</v>
      </c>
    </row>
    <row r="10" spans="1:11" x14ac:dyDescent="0.3">
      <c r="A10" s="2">
        <v>9</v>
      </c>
      <c r="B10" s="4" t="s">
        <v>17</v>
      </c>
      <c r="C10" s="3">
        <v>55</v>
      </c>
      <c r="D10" s="3">
        <v>60</v>
      </c>
      <c r="E10" s="3">
        <v>58</v>
      </c>
      <c r="F10" s="3">
        <f t="shared" si="0"/>
        <v>173</v>
      </c>
      <c r="G10" s="2">
        <f t="shared" si="1"/>
        <v>57.666666666666664</v>
      </c>
      <c r="H10" s="3">
        <f t="shared" si="2"/>
        <v>58</v>
      </c>
      <c r="I10" s="2"/>
      <c r="J10" s="3">
        <f t="shared" si="3"/>
        <v>55</v>
      </c>
      <c r="K10" s="3">
        <f t="shared" si="4"/>
        <v>60</v>
      </c>
    </row>
    <row r="11" spans="1:11" x14ac:dyDescent="0.3">
      <c r="A11" s="2">
        <v>10</v>
      </c>
      <c r="B11" s="4" t="s">
        <v>18</v>
      </c>
      <c r="C11" s="3">
        <v>80</v>
      </c>
      <c r="D11" s="3">
        <v>75</v>
      </c>
      <c r="E11" s="3">
        <v>82</v>
      </c>
      <c r="F11" s="3">
        <f t="shared" si="0"/>
        <v>237</v>
      </c>
      <c r="G11" s="2">
        <f t="shared" si="1"/>
        <v>79</v>
      </c>
      <c r="H11" s="3">
        <f t="shared" si="2"/>
        <v>80</v>
      </c>
      <c r="I11" s="2"/>
      <c r="J11" s="3">
        <f t="shared" si="3"/>
        <v>75</v>
      </c>
      <c r="K11" s="3">
        <f t="shared" si="4"/>
        <v>82</v>
      </c>
    </row>
    <row r="12" spans="1:11" x14ac:dyDescent="0.3">
      <c r="A12" s="2">
        <v>11</v>
      </c>
      <c r="B12" s="4" t="s">
        <v>19</v>
      </c>
      <c r="C12" s="3">
        <v>70</v>
      </c>
      <c r="D12" s="3">
        <v>68</v>
      </c>
      <c r="E12" s="3">
        <v>72</v>
      </c>
      <c r="F12" s="3">
        <f t="shared" si="0"/>
        <v>210</v>
      </c>
      <c r="G12" s="2">
        <f t="shared" si="1"/>
        <v>70</v>
      </c>
      <c r="H12" s="3">
        <f t="shared" si="2"/>
        <v>70</v>
      </c>
      <c r="I12" s="2"/>
      <c r="J12" s="3">
        <f t="shared" si="3"/>
        <v>68</v>
      </c>
      <c r="K12" s="3">
        <f t="shared" si="4"/>
        <v>72</v>
      </c>
    </row>
    <row r="13" spans="1:11" x14ac:dyDescent="0.3">
      <c r="A13" s="2">
        <v>12</v>
      </c>
      <c r="B13" s="4" t="s">
        <v>20</v>
      </c>
      <c r="C13" s="3">
        <v>90</v>
      </c>
      <c r="D13" s="3">
        <v>92</v>
      </c>
      <c r="E13" s="3">
        <v>94</v>
      </c>
      <c r="F13" s="3">
        <f t="shared" si="0"/>
        <v>276</v>
      </c>
      <c r="G13" s="2">
        <f t="shared" si="1"/>
        <v>92</v>
      </c>
      <c r="H13" s="3">
        <f t="shared" si="2"/>
        <v>92</v>
      </c>
      <c r="I13" s="2"/>
      <c r="J13" s="3">
        <f t="shared" si="3"/>
        <v>90</v>
      </c>
      <c r="K13" s="3">
        <f t="shared" si="4"/>
        <v>94</v>
      </c>
    </row>
    <row r="14" spans="1:11" x14ac:dyDescent="0.3">
      <c r="A14" s="2">
        <v>13</v>
      </c>
      <c r="B14" s="4" t="s">
        <v>21</v>
      </c>
      <c r="C14" s="3">
        <v>75</v>
      </c>
      <c r="D14" s="3">
        <v>78</v>
      </c>
      <c r="E14" s="3">
        <v>80</v>
      </c>
      <c r="F14" s="3">
        <f t="shared" si="0"/>
        <v>233</v>
      </c>
      <c r="G14" s="2">
        <f t="shared" si="1"/>
        <v>77.666666666666671</v>
      </c>
      <c r="H14" s="3">
        <f t="shared" si="2"/>
        <v>78</v>
      </c>
      <c r="I14" s="2"/>
      <c r="J14" s="3">
        <f t="shared" si="3"/>
        <v>75</v>
      </c>
      <c r="K14" s="3">
        <f t="shared" si="4"/>
        <v>80</v>
      </c>
    </row>
    <row r="15" spans="1:11" x14ac:dyDescent="0.3">
      <c r="A15" s="2">
        <v>14</v>
      </c>
      <c r="B15" s="4" t="s">
        <v>22</v>
      </c>
      <c r="C15" s="3">
        <v>62</v>
      </c>
      <c r="D15" s="3">
        <v>58</v>
      </c>
      <c r="E15" s="3">
        <v>65</v>
      </c>
      <c r="F15" s="3">
        <f t="shared" si="0"/>
        <v>185</v>
      </c>
      <c r="G15" s="2">
        <f t="shared" si="1"/>
        <v>61.666666666666664</v>
      </c>
      <c r="H15" s="3">
        <f t="shared" si="2"/>
        <v>62</v>
      </c>
      <c r="I15" s="2"/>
      <c r="J15" s="3">
        <f t="shared" si="3"/>
        <v>58</v>
      </c>
      <c r="K15" s="3">
        <f t="shared" si="4"/>
        <v>65</v>
      </c>
    </row>
    <row r="16" spans="1:11" x14ac:dyDescent="0.3">
      <c r="A16" s="2">
        <v>15</v>
      </c>
      <c r="B16" s="4" t="s">
        <v>23</v>
      </c>
      <c r="C16" s="3">
        <v>98</v>
      </c>
      <c r="D16" s="3">
        <v>95</v>
      </c>
      <c r="E16" s="3">
        <v>100</v>
      </c>
      <c r="F16" s="3">
        <f t="shared" si="0"/>
        <v>293</v>
      </c>
      <c r="G16" s="2">
        <f t="shared" si="1"/>
        <v>97.666666666666671</v>
      </c>
      <c r="H16" s="3">
        <f t="shared" si="2"/>
        <v>98</v>
      </c>
      <c r="I16" s="2"/>
      <c r="J16" s="3">
        <f t="shared" si="3"/>
        <v>95</v>
      </c>
      <c r="K16" s="3">
        <f t="shared" si="4"/>
        <v>100</v>
      </c>
    </row>
    <row r="19" spans="1:13" x14ac:dyDescent="0.3">
      <c r="A19" s="2" t="s">
        <v>0</v>
      </c>
      <c r="B19" s="5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G19" s="7" t="s">
        <v>46</v>
      </c>
      <c r="H19" s="7" t="s">
        <v>47</v>
      </c>
      <c r="I19" s="7" t="s">
        <v>48</v>
      </c>
      <c r="J19" s="7" t="s">
        <v>24</v>
      </c>
      <c r="K19" s="7" t="s">
        <v>25</v>
      </c>
      <c r="L19" s="7"/>
      <c r="M19" s="7"/>
    </row>
    <row r="20" spans="1:13" x14ac:dyDescent="0.3">
      <c r="A20" s="2">
        <v>1</v>
      </c>
      <c r="B20" s="5" t="s">
        <v>31</v>
      </c>
      <c r="C20" s="6">
        <v>45000</v>
      </c>
      <c r="D20" s="2">
        <v>12</v>
      </c>
      <c r="E20" s="2">
        <f>C20*D20</f>
        <v>540000</v>
      </c>
      <c r="F20" s="2" t="str">
        <f>IF(E20&gt;100000,"Топ",IF(E20&gt;50000,"Среднее",IF(E20&lt;50000,"Низкий",)))</f>
        <v>Топ</v>
      </c>
      <c r="G20">
        <f>SUM(E20:E34)</f>
        <v>1888100</v>
      </c>
      <c r="H20">
        <f>AVERAGE(E20:E34)</f>
        <v>125873.33333333333</v>
      </c>
      <c r="I20">
        <f>MEDIAN(E20:E34)</f>
        <v>70000</v>
      </c>
      <c r="J20">
        <f>MIN(E20:E34)</f>
        <v>36000</v>
      </c>
      <c r="K20">
        <f xml:space="preserve"> MAX(E20:E34)</f>
        <v>540000</v>
      </c>
    </row>
    <row r="21" spans="1:13" x14ac:dyDescent="0.3">
      <c r="A21" s="2">
        <v>2</v>
      </c>
      <c r="B21" s="5" t="s">
        <v>32</v>
      </c>
      <c r="C21" s="6">
        <v>18000</v>
      </c>
      <c r="D21" s="2">
        <v>25</v>
      </c>
      <c r="E21" s="2">
        <f t="shared" ref="E21:E34" si="5">C21*D21</f>
        <v>450000</v>
      </c>
      <c r="F21" s="2" t="str">
        <f t="shared" ref="F21:F34" si="6">IF(E21&gt;100000,"Топ",IF(E21&gt;50000,"Среднее",IF(E21&lt;50000,"Низкий",)))</f>
        <v>Топ</v>
      </c>
    </row>
    <row r="22" spans="1:13" x14ac:dyDescent="0.3">
      <c r="A22" s="2">
        <v>3</v>
      </c>
      <c r="B22" s="5" t="s">
        <v>33</v>
      </c>
      <c r="C22" s="6">
        <v>1500</v>
      </c>
      <c r="D22" s="2">
        <v>60</v>
      </c>
      <c r="E22" s="2">
        <f t="shared" si="5"/>
        <v>90000</v>
      </c>
      <c r="F22" s="2" t="str">
        <f t="shared" si="6"/>
        <v>Среднее</v>
      </c>
    </row>
    <row r="23" spans="1:13" x14ac:dyDescent="0.3">
      <c r="A23" s="2">
        <v>4</v>
      </c>
      <c r="B23" s="5" t="s">
        <v>34</v>
      </c>
      <c r="C23" s="6">
        <v>800</v>
      </c>
      <c r="D23" s="2">
        <v>85</v>
      </c>
      <c r="E23" s="2">
        <f t="shared" si="5"/>
        <v>68000</v>
      </c>
      <c r="F23" s="2" t="str">
        <f t="shared" si="6"/>
        <v>Среднее</v>
      </c>
    </row>
    <row r="24" spans="1:13" x14ac:dyDescent="0.3">
      <c r="A24" s="2">
        <v>5</v>
      </c>
      <c r="B24" s="5" t="s">
        <v>35</v>
      </c>
      <c r="C24" s="6">
        <v>12000</v>
      </c>
      <c r="D24" s="2">
        <v>8</v>
      </c>
      <c r="E24" s="2">
        <f t="shared" si="5"/>
        <v>96000</v>
      </c>
      <c r="F24" s="2" t="str">
        <f t="shared" si="6"/>
        <v>Среднее</v>
      </c>
    </row>
    <row r="25" spans="1:13" x14ac:dyDescent="0.3">
      <c r="A25" s="2">
        <v>6</v>
      </c>
      <c r="B25" s="5" t="s">
        <v>36</v>
      </c>
      <c r="C25" s="6">
        <v>9000</v>
      </c>
      <c r="D25" s="2">
        <v>6</v>
      </c>
      <c r="E25" s="2">
        <f t="shared" si="5"/>
        <v>54000</v>
      </c>
      <c r="F25" s="2" t="str">
        <f t="shared" si="6"/>
        <v>Среднее</v>
      </c>
    </row>
    <row r="26" spans="1:13" x14ac:dyDescent="0.3">
      <c r="A26" s="2">
        <v>7</v>
      </c>
      <c r="B26" s="5" t="s">
        <v>37</v>
      </c>
      <c r="C26" s="6">
        <v>600</v>
      </c>
      <c r="D26" s="2">
        <v>120</v>
      </c>
      <c r="E26" s="2">
        <f t="shared" si="5"/>
        <v>72000</v>
      </c>
      <c r="F26" s="2" t="str">
        <f t="shared" si="6"/>
        <v>Среднее</v>
      </c>
    </row>
    <row r="27" spans="1:13" x14ac:dyDescent="0.3">
      <c r="A27" s="2">
        <v>8</v>
      </c>
      <c r="B27" s="5" t="s">
        <v>38</v>
      </c>
      <c r="C27" s="6">
        <v>5500</v>
      </c>
      <c r="D27" s="2">
        <v>15</v>
      </c>
      <c r="E27" s="2">
        <f t="shared" si="5"/>
        <v>82500</v>
      </c>
      <c r="F27" s="2" t="str">
        <f t="shared" si="6"/>
        <v>Среднее</v>
      </c>
    </row>
    <row r="28" spans="1:13" x14ac:dyDescent="0.3">
      <c r="A28" s="2">
        <v>9</v>
      </c>
      <c r="B28" s="5" t="s">
        <v>39</v>
      </c>
      <c r="C28" s="6">
        <v>2800</v>
      </c>
      <c r="D28" s="2">
        <v>22</v>
      </c>
      <c r="E28" s="2">
        <f t="shared" si="5"/>
        <v>61600</v>
      </c>
      <c r="F28" s="2" t="str">
        <f t="shared" si="6"/>
        <v>Среднее</v>
      </c>
    </row>
    <row r="29" spans="1:13" x14ac:dyDescent="0.3">
      <c r="A29" s="2">
        <v>10</v>
      </c>
      <c r="B29" s="5" t="s">
        <v>40</v>
      </c>
      <c r="C29" s="6">
        <v>3200</v>
      </c>
      <c r="D29" s="2">
        <v>35</v>
      </c>
      <c r="E29" s="2">
        <f t="shared" si="5"/>
        <v>112000</v>
      </c>
      <c r="F29" s="2" t="str">
        <f t="shared" si="6"/>
        <v>Топ</v>
      </c>
    </row>
    <row r="30" spans="1:13" x14ac:dyDescent="0.3">
      <c r="A30" s="2">
        <v>11</v>
      </c>
      <c r="B30" s="5" t="s">
        <v>41</v>
      </c>
      <c r="C30" s="6">
        <v>400</v>
      </c>
      <c r="D30" s="2">
        <v>90</v>
      </c>
      <c r="E30" s="2">
        <f t="shared" si="5"/>
        <v>36000</v>
      </c>
      <c r="F30" s="2" t="str">
        <f t="shared" si="6"/>
        <v>Низкий</v>
      </c>
    </row>
    <row r="31" spans="1:13" x14ac:dyDescent="0.3">
      <c r="A31" s="2">
        <v>12</v>
      </c>
      <c r="B31" s="2" t="s">
        <v>45</v>
      </c>
      <c r="C31" s="6">
        <v>1200</v>
      </c>
      <c r="D31" s="2">
        <v>40</v>
      </c>
      <c r="E31" s="2">
        <f t="shared" si="5"/>
        <v>48000</v>
      </c>
      <c r="F31" s="2" t="str">
        <f t="shared" si="6"/>
        <v>Низкий</v>
      </c>
    </row>
    <row r="32" spans="1:13" x14ac:dyDescent="0.3">
      <c r="A32" s="2">
        <v>13</v>
      </c>
      <c r="B32" s="5" t="s">
        <v>42</v>
      </c>
      <c r="C32" s="6">
        <v>2500</v>
      </c>
      <c r="D32" s="2">
        <v>18</v>
      </c>
      <c r="E32" s="2">
        <f t="shared" si="5"/>
        <v>45000</v>
      </c>
      <c r="F32" s="2" t="str">
        <f t="shared" si="6"/>
        <v>Низкий</v>
      </c>
    </row>
    <row r="33" spans="1:6" x14ac:dyDescent="0.3">
      <c r="A33" s="2">
        <v>14</v>
      </c>
      <c r="B33" s="5" t="s">
        <v>43</v>
      </c>
      <c r="C33" s="6">
        <v>350</v>
      </c>
      <c r="D33" s="2">
        <v>200</v>
      </c>
      <c r="E33" s="2">
        <f t="shared" si="5"/>
        <v>70000</v>
      </c>
      <c r="F33" s="2" t="str">
        <f t="shared" si="6"/>
        <v>Среднее</v>
      </c>
    </row>
    <row r="34" spans="1:6" x14ac:dyDescent="0.3">
      <c r="A34" s="2">
        <v>15</v>
      </c>
      <c r="B34" s="5" t="s">
        <v>44</v>
      </c>
      <c r="C34" s="6">
        <v>4500</v>
      </c>
      <c r="D34" s="2">
        <v>14</v>
      </c>
      <c r="E34" s="2">
        <f t="shared" si="5"/>
        <v>63000</v>
      </c>
      <c r="F34" s="2" t="str">
        <f t="shared" si="6"/>
        <v>Среднее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Статистика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2026-10-07T07:18:20Z</dcterms:modified>
</cp:coreProperties>
</file>